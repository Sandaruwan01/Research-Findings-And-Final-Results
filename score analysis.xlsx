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RUWAN\Desktop\Research\Final Chapter\"/>
    </mc:Choice>
  </mc:AlternateContent>
  <xr:revisionPtr revIDLastSave="0" documentId="13_ncr:1_{3F0543AB-1DAD-41C7-8DED-0A3E9252FAE4}" xr6:coauthVersionLast="47" xr6:coauthVersionMax="47" xr10:uidLastSave="{00000000-0000-0000-0000-000000000000}"/>
  <bookViews>
    <workbookView xWindow="-108" yWindow="-108" windowWidth="23256" windowHeight="12456" activeTab="1" xr2:uid="{02818F7D-63B4-420E-84D2-174717F947C4}"/>
  </bookViews>
  <sheets>
    <sheet name="qulitative" sheetId="1" r:id="rId1"/>
    <sheet name="score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5" l="1"/>
  <c r="I24" i="5"/>
  <c r="J3" i="5"/>
  <c r="I3" i="5"/>
  <c r="J27" i="5"/>
  <c r="J28" i="5" s="1"/>
  <c r="J22" i="5"/>
  <c r="K22" i="5" s="1"/>
  <c r="I22" i="5"/>
  <c r="J21" i="5"/>
  <c r="I21" i="5"/>
  <c r="J20" i="5"/>
  <c r="K20" i="5" s="1"/>
  <c r="I20" i="5"/>
  <c r="J19" i="5"/>
  <c r="K19" i="5" s="1"/>
  <c r="I19" i="5"/>
  <c r="J18" i="5"/>
  <c r="I18" i="5"/>
  <c r="J17" i="5"/>
  <c r="I17" i="5"/>
  <c r="J16" i="5"/>
  <c r="I16" i="5"/>
  <c r="J15" i="5"/>
  <c r="K15" i="5" s="1"/>
  <c r="I15" i="5"/>
  <c r="J14" i="5"/>
  <c r="I14" i="5"/>
  <c r="J13" i="5"/>
  <c r="K13" i="5" s="1"/>
  <c r="I13" i="5"/>
  <c r="J12" i="5"/>
  <c r="K12" i="5" s="1"/>
  <c r="I12" i="5"/>
  <c r="K11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0" i="5" l="1"/>
  <c r="K10" i="5"/>
  <c r="K16" i="5"/>
  <c r="K3" i="5"/>
  <c r="K5" i="5"/>
  <c r="K9" i="5"/>
  <c r="K17" i="5"/>
  <c r="K21" i="5"/>
  <c r="K14" i="5"/>
  <c r="K18" i="5"/>
  <c r="K7" i="5"/>
  <c r="K6" i="5"/>
  <c r="K4" i="5"/>
  <c r="K8" i="5"/>
</calcChain>
</file>

<file path=xl/sharedStrings.xml><?xml version="1.0" encoding="utf-8"?>
<sst xmlns="http://schemas.openxmlformats.org/spreadsheetml/2006/main" count="55" uniqueCount="53">
  <si>
    <t>Feedback</t>
  </si>
  <si>
    <t>marks</t>
  </si>
  <si>
    <t>Ease of Navigation</t>
  </si>
  <si>
    <t>Clarity of Instructions</t>
  </si>
  <si>
    <t>Engagement Level</t>
  </si>
  <si>
    <t>Error Recovery</t>
  </si>
  <si>
    <t>User Name</t>
  </si>
  <si>
    <t>Nisal Lakshan</t>
  </si>
  <si>
    <t>dewmin595</t>
  </si>
  <si>
    <t>chathura de silva</t>
  </si>
  <si>
    <t>chamindu suriya bandara</t>
  </si>
  <si>
    <t>charuka vbc</t>
  </si>
  <si>
    <t>kaceesha m</t>
  </si>
  <si>
    <t>shanilkkahero</t>
  </si>
  <si>
    <t>dimuthu</t>
  </si>
  <si>
    <t>sasini</t>
  </si>
  <si>
    <t>devindatp</t>
  </si>
  <si>
    <t>kusal</t>
  </si>
  <si>
    <t>supun</t>
  </si>
  <si>
    <t>ayeshmantha</t>
  </si>
  <si>
    <t>kanishka jd</t>
  </si>
  <si>
    <t>dulan</t>
  </si>
  <si>
    <t>nipuna</t>
  </si>
  <si>
    <t xml:space="preserve">dimuth </t>
  </si>
  <si>
    <t>randika</t>
  </si>
  <si>
    <t>chamini</t>
  </si>
  <si>
    <t>kavindu</t>
  </si>
  <si>
    <t>Sorting Arcade Score Analysis</t>
  </si>
  <si>
    <t>total initial mcq avarage=</t>
  </si>
  <si>
    <t>Group initial avarage=</t>
  </si>
  <si>
    <t>total final mcq avarage=</t>
  </si>
  <si>
    <t>group final mcq avarage=</t>
  </si>
  <si>
    <t>Group improvemet=</t>
  </si>
  <si>
    <t>bubble
sort</t>
  </si>
  <si>
    <t>selection
sort</t>
  </si>
  <si>
    <t>insertion
sort</t>
  </si>
  <si>
    <t>merge
sort</t>
  </si>
  <si>
    <t>quick
sort</t>
  </si>
  <si>
    <t>initial mcq
 avarage</t>
  </si>
  <si>
    <t>final mcq 
avarage</t>
  </si>
  <si>
    <t>No.</t>
  </si>
  <si>
    <t>initial
 mcq</t>
  </si>
  <si>
    <t>individual
improvement</t>
  </si>
  <si>
    <t>Ui is greate, game is cool, thank you</t>
  </si>
  <si>
    <t>merge sort and bubble sort need more time to play its hard because of typing and thinking</t>
  </si>
  <si>
    <t>nice, undestand the concept very well. thanks</t>
  </si>
  <si>
    <t>UI is very attractive and easy to understand. thank you</t>
  </si>
  <si>
    <t>nice UI and navigation is ok</t>
  </si>
  <si>
    <t>feedback</t>
  </si>
  <si>
    <t>UI is Clear</t>
  </si>
  <si>
    <t>Need More Time</t>
  </si>
  <si>
    <t>Easy Navigation</t>
  </si>
  <si>
    <t>Response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</si>
</sst>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2" fillId="3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 applyAlignment="1">
      <alignment horizontal="center" wrapText="1"/>
    </xf>
    <xf numFmtId="1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qulitative!$B$1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qulitative!$A$2:$A$5</c:f>
              <c:strCache>
                <c:ptCount val="4"/>
                <c:pt idx="0">
                  <c:v>Ease of Navigation</c:v>
                </c:pt>
                <c:pt idx="1">
                  <c:v>Clarity of Instructions</c:v>
                </c:pt>
                <c:pt idx="2">
                  <c:v>Engagement Level</c:v>
                </c:pt>
                <c:pt idx="3">
                  <c:v>Error Recovery</c:v>
                </c:pt>
              </c:strCache>
            </c:strRef>
          </c:cat>
          <c:val>
            <c:numRef>
              <c:f>qulitative!$B$2:$B$5</c:f>
              <c:numCache>
                <c:formatCode>General</c:formatCode>
                <c:ptCount val="4"/>
                <c:pt idx="0">
                  <c:v>18</c:v>
                </c:pt>
                <c:pt idx="1">
                  <c:v>12</c:v>
                </c:pt>
                <c:pt idx="2">
                  <c:v>14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0-41FE-AD12-12D98A3B3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0034128"/>
        <c:axId val="1220033712"/>
      </c:barChart>
      <c:catAx>
        <c:axId val="122003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33712"/>
        <c:crosses val="autoZero"/>
        <c:auto val="1"/>
        <c:lblAlgn val="ctr"/>
        <c:lblOffset val="100"/>
        <c:noMultiLvlLbl val="0"/>
      </c:catAx>
      <c:valAx>
        <c:axId val="12200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3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qulitative!$B$16</c:f>
              <c:strCache>
                <c:ptCount val="1"/>
                <c:pt idx="0">
                  <c:v>Response 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qulitative!$A$17:$A$19</c:f>
              <c:strCache>
                <c:ptCount val="3"/>
                <c:pt idx="0">
                  <c:v>UI is Clear</c:v>
                </c:pt>
                <c:pt idx="1">
                  <c:v>Need More Time</c:v>
                </c:pt>
                <c:pt idx="2">
                  <c:v>Easy Navigation</c:v>
                </c:pt>
              </c:strCache>
            </c:strRef>
          </c:cat>
          <c:val>
            <c:numRef>
              <c:f>qulitative!$B$17:$B$19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5-4761-9F2B-C9A2851270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2459088"/>
        <c:axId val="972457008"/>
      </c:barChart>
      <c:catAx>
        <c:axId val="9724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57008"/>
        <c:crosses val="autoZero"/>
        <c:auto val="1"/>
        <c:lblAlgn val="ctr"/>
        <c:lblOffset val="100"/>
        <c:noMultiLvlLbl val="0"/>
      </c:catAx>
      <c:valAx>
        <c:axId val="9724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5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 vs. Post MCQ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'score sheet'!$I$2</c:f>
              <c:strCache>
                <c:ptCount val="1"/>
                <c:pt idx="0">
                  <c:v>initial mcq
 avarage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'score sheet'!$I$3:$I$22</c:f>
              <c:numCache>
                <c:formatCode>0.00</c:formatCode>
                <c:ptCount val="20"/>
                <c:pt idx="0">
                  <c:v>0.72</c:v>
                </c:pt>
                <c:pt idx="1">
                  <c:v>0.6</c:v>
                </c:pt>
                <c:pt idx="2">
                  <c:v>0.64</c:v>
                </c:pt>
                <c:pt idx="3">
                  <c:v>0.6</c:v>
                </c:pt>
                <c:pt idx="4">
                  <c:v>0.56000000000000005</c:v>
                </c:pt>
                <c:pt idx="5">
                  <c:v>0.68</c:v>
                </c:pt>
                <c:pt idx="6">
                  <c:v>0.8</c:v>
                </c:pt>
                <c:pt idx="7">
                  <c:v>0.72</c:v>
                </c:pt>
                <c:pt idx="8">
                  <c:v>0.68</c:v>
                </c:pt>
                <c:pt idx="9">
                  <c:v>0.72</c:v>
                </c:pt>
                <c:pt idx="10">
                  <c:v>0.72</c:v>
                </c:pt>
                <c:pt idx="11">
                  <c:v>0.6</c:v>
                </c:pt>
                <c:pt idx="12">
                  <c:v>0.6</c:v>
                </c:pt>
                <c:pt idx="13">
                  <c:v>0.64</c:v>
                </c:pt>
                <c:pt idx="14">
                  <c:v>0.48</c:v>
                </c:pt>
                <c:pt idx="15">
                  <c:v>0.56000000000000005</c:v>
                </c:pt>
                <c:pt idx="16">
                  <c:v>0.56000000000000005</c:v>
                </c:pt>
                <c:pt idx="17">
                  <c:v>0.6</c:v>
                </c:pt>
                <c:pt idx="18">
                  <c:v>0.72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1-4EC2-9297-54F001F727D1}"/>
            </c:ext>
          </c:extLst>
        </c:ser>
        <c:ser>
          <c:idx val="1"/>
          <c:order val="1"/>
          <c:tx>
            <c:strRef>
              <c:f>'score sheet'!$J$2</c:f>
              <c:strCache>
                <c:ptCount val="1"/>
                <c:pt idx="0">
                  <c:v>final mcq 
avarage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'score sheet'!$J$3:$J$22</c:f>
              <c:numCache>
                <c:formatCode>0.00</c:formatCode>
                <c:ptCount val="20"/>
                <c:pt idx="0">
                  <c:v>0.82</c:v>
                </c:pt>
                <c:pt idx="1">
                  <c:v>0.88</c:v>
                </c:pt>
                <c:pt idx="2">
                  <c:v>0.82</c:v>
                </c:pt>
                <c:pt idx="3">
                  <c:v>0.82</c:v>
                </c:pt>
                <c:pt idx="4">
                  <c:v>0.84</c:v>
                </c:pt>
                <c:pt idx="5">
                  <c:v>0.82</c:v>
                </c:pt>
                <c:pt idx="6">
                  <c:v>0.86</c:v>
                </c:pt>
                <c:pt idx="7">
                  <c:v>0.57999999999999996</c:v>
                </c:pt>
                <c:pt idx="8">
                  <c:v>0.86</c:v>
                </c:pt>
                <c:pt idx="9">
                  <c:v>0.76</c:v>
                </c:pt>
                <c:pt idx="10">
                  <c:v>0.8</c:v>
                </c:pt>
                <c:pt idx="11">
                  <c:v>0.8</c:v>
                </c:pt>
                <c:pt idx="12">
                  <c:v>0.86</c:v>
                </c:pt>
                <c:pt idx="13">
                  <c:v>0.84</c:v>
                </c:pt>
                <c:pt idx="14">
                  <c:v>0.9</c:v>
                </c:pt>
                <c:pt idx="15">
                  <c:v>0.8</c:v>
                </c:pt>
                <c:pt idx="16">
                  <c:v>0.84</c:v>
                </c:pt>
                <c:pt idx="17">
                  <c:v>0.76</c:v>
                </c:pt>
                <c:pt idx="18">
                  <c:v>0.78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1-4EC2-9297-54F001F72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954880"/>
        <c:axId val="1046955296"/>
      </c:lineChart>
      <c:catAx>
        <c:axId val="1046954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1" u="none" strike="noStrike" baseline="0"/>
                  <a:t>Participants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55296"/>
        <c:crosses val="autoZero"/>
        <c:auto val="1"/>
        <c:lblAlgn val="ctr"/>
        <c:lblOffset val="100"/>
        <c:noMultiLvlLbl val="0"/>
      </c:catAx>
      <c:valAx>
        <c:axId val="10469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1" u="none" strike="noStrike" baseline="0"/>
                  <a:t>Average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5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4</xdr:row>
      <xdr:rowOff>129540</xdr:rowOff>
    </xdr:from>
    <xdr:to>
      <xdr:col>18</xdr:col>
      <xdr:colOff>571500</xdr:colOff>
      <xdr:row>19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651AF-F483-156B-6908-7457BBB8E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4</xdr:row>
      <xdr:rowOff>83820</xdr:rowOff>
    </xdr:from>
    <xdr:to>
      <xdr:col>10</xdr:col>
      <xdr:colOff>556260</xdr:colOff>
      <xdr:row>18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680A6D-9FFA-D3F5-7477-A5D45925F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556260</xdr:colOff>
      <xdr:row>9</xdr:row>
      <xdr:rowOff>152400</xdr:rowOff>
    </xdr:from>
    <xdr:to>
      <xdr:col>20</xdr:col>
      <xdr:colOff>411480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708D9E-3207-A62F-D60C-A12E92AB4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B8EF-9DA6-4C08-8092-BFBAB6DC78DF}">
  <dimension ref="A1:B19"/>
  <sheetViews>
    <sheetView workbookViewId="0">
      <selection activeCell="A23" sqref="A23"/>
    </sheetView>
  </sheetViews>
  <sheetFormatPr defaultRowHeight="14.4" x14ac:dyDescent="0.3"/>
  <cols>
    <col min="1" max="1" width="42.77734375" customWidth="1"/>
    <col min="2" max="2" width="15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18</v>
      </c>
    </row>
    <row r="3" spans="1:2" x14ac:dyDescent="0.3">
      <c r="A3" s="1" t="s">
        <v>3</v>
      </c>
      <c r="B3" s="1">
        <v>12</v>
      </c>
    </row>
    <row r="4" spans="1:2" x14ac:dyDescent="0.3">
      <c r="A4" s="1" t="s">
        <v>4</v>
      </c>
      <c r="B4" s="1">
        <v>14</v>
      </c>
    </row>
    <row r="5" spans="1:2" x14ac:dyDescent="0.3">
      <c r="A5" s="1" t="s">
        <v>5</v>
      </c>
      <c r="B5" s="1">
        <v>5</v>
      </c>
    </row>
    <row r="8" spans="1:2" x14ac:dyDescent="0.3">
      <c r="A8" s="1" t="s">
        <v>0</v>
      </c>
      <c r="B8" s="1" t="s">
        <v>1</v>
      </c>
    </row>
    <row r="9" spans="1:2" x14ac:dyDescent="0.3">
      <c r="A9" s="1" t="s">
        <v>43</v>
      </c>
      <c r="B9" s="1"/>
    </row>
    <row r="10" spans="1:2" ht="28.8" x14ac:dyDescent="0.3">
      <c r="A10" s="15" t="s">
        <v>44</v>
      </c>
      <c r="B10" s="1"/>
    </row>
    <row r="11" spans="1:2" x14ac:dyDescent="0.3">
      <c r="A11" s="1" t="s">
        <v>45</v>
      </c>
      <c r="B11" s="1"/>
    </row>
    <row r="12" spans="1:2" x14ac:dyDescent="0.3">
      <c r="A12" s="1" t="s">
        <v>46</v>
      </c>
      <c r="B12" s="1"/>
    </row>
    <row r="13" spans="1:2" x14ac:dyDescent="0.3">
      <c r="A13" t="s">
        <v>47</v>
      </c>
    </row>
    <row r="16" spans="1:2" x14ac:dyDescent="0.3">
      <c r="A16" s="1" t="s">
        <v>48</v>
      </c>
      <c r="B16" s="1" t="s">
        <v>52</v>
      </c>
    </row>
    <row r="17" spans="1:2" x14ac:dyDescent="0.3">
      <c r="A17" s="1" t="s">
        <v>49</v>
      </c>
      <c r="B17" s="1">
        <v>8</v>
      </c>
    </row>
    <row r="18" spans="1:2" x14ac:dyDescent="0.3">
      <c r="A18" s="1" t="s">
        <v>50</v>
      </c>
      <c r="B18" s="1">
        <v>2</v>
      </c>
    </row>
    <row r="19" spans="1:2" x14ac:dyDescent="0.3">
      <c r="A19" s="1" t="s">
        <v>51</v>
      </c>
      <c r="B19" s="1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2BC7-8B40-4B0D-A37A-11FF9F5383BB}">
  <dimension ref="A1:K30"/>
  <sheetViews>
    <sheetView tabSelected="1" topLeftCell="A10" workbookViewId="0">
      <selection activeCell="I26" sqref="I26"/>
    </sheetView>
  </sheetViews>
  <sheetFormatPr defaultRowHeight="14.4" x14ac:dyDescent="0.3"/>
  <cols>
    <col min="1" max="1" width="5" customWidth="1"/>
    <col min="2" max="2" width="20.88671875" customWidth="1"/>
    <col min="3" max="3" width="11.109375" style="2" customWidth="1"/>
    <col min="4" max="8" width="8.88671875" style="2"/>
    <col min="9" max="9" width="16.5546875" style="3" customWidth="1"/>
    <col min="10" max="10" width="17.5546875" style="3" customWidth="1"/>
    <col min="11" max="11" width="12.109375" style="3" customWidth="1"/>
  </cols>
  <sheetData>
    <row r="1" spans="1:11" ht="21" customHeight="1" x14ac:dyDescent="0.3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7.799999999999997" customHeight="1" x14ac:dyDescent="0.3">
      <c r="A2" s="6" t="s">
        <v>40</v>
      </c>
      <c r="B2" s="6" t="s">
        <v>6</v>
      </c>
      <c r="C2" s="13" t="s">
        <v>41</v>
      </c>
      <c r="D2" s="13" t="s">
        <v>33</v>
      </c>
      <c r="E2" s="13" t="s">
        <v>34</v>
      </c>
      <c r="F2" s="13" t="s">
        <v>35</v>
      </c>
      <c r="G2" s="13" t="s">
        <v>36</v>
      </c>
      <c r="H2" s="13" t="s">
        <v>37</v>
      </c>
      <c r="I2" s="13" t="s">
        <v>38</v>
      </c>
      <c r="J2" s="13" t="s">
        <v>39</v>
      </c>
      <c r="K2" s="13" t="s">
        <v>42</v>
      </c>
    </row>
    <row r="3" spans="1:11" x14ac:dyDescent="0.3">
      <c r="A3" s="1">
        <v>1</v>
      </c>
      <c r="B3" s="1" t="s">
        <v>7</v>
      </c>
      <c r="C3" s="5">
        <v>18</v>
      </c>
      <c r="D3" s="5">
        <v>8</v>
      </c>
      <c r="E3" s="5">
        <v>5</v>
      </c>
      <c r="F3" s="5">
        <v>9</v>
      </c>
      <c r="G3" s="5">
        <v>10</v>
      </c>
      <c r="H3" s="5">
        <v>9</v>
      </c>
      <c r="I3" s="5">
        <f>C3/25</f>
        <v>0.72</v>
      </c>
      <c r="J3" s="5">
        <f>(D3+E3+F3+G3+H3)/50</f>
        <v>0.82</v>
      </c>
      <c r="K3" s="5">
        <f>(J3-I3)*100</f>
        <v>9.9999999999999982</v>
      </c>
    </row>
    <row r="4" spans="1:11" x14ac:dyDescent="0.3">
      <c r="A4" s="1">
        <v>2</v>
      </c>
      <c r="B4" s="1" t="s">
        <v>8</v>
      </c>
      <c r="C4" s="5">
        <v>15</v>
      </c>
      <c r="D4" s="5">
        <v>8</v>
      </c>
      <c r="E4" s="5">
        <v>6</v>
      </c>
      <c r="F4" s="5">
        <v>10</v>
      </c>
      <c r="G4" s="5">
        <v>10</v>
      </c>
      <c r="H4" s="5">
        <v>10</v>
      </c>
      <c r="I4" s="5">
        <f t="shared" ref="I4:I22" si="0">C4/25</f>
        <v>0.6</v>
      </c>
      <c r="J4" s="5">
        <f t="shared" ref="J4:J22" si="1">(D4+E4+F4+G4+H4)/50</f>
        <v>0.88</v>
      </c>
      <c r="K4" s="5">
        <f t="shared" ref="K4:K22" si="2">(J4-I4)*100</f>
        <v>28.000000000000004</v>
      </c>
    </row>
    <row r="5" spans="1:11" x14ac:dyDescent="0.3">
      <c r="A5" s="1">
        <v>3</v>
      </c>
      <c r="B5" s="1" t="s">
        <v>9</v>
      </c>
      <c r="C5" s="5">
        <v>16</v>
      </c>
      <c r="D5" s="5">
        <v>8</v>
      </c>
      <c r="E5" s="5">
        <v>5</v>
      </c>
      <c r="F5" s="5">
        <v>10</v>
      </c>
      <c r="G5" s="5">
        <v>9</v>
      </c>
      <c r="H5" s="5">
        <v>9</v>
      </c>
      <c r="I5" s="5">
        <f t="shared" si="0"/>
        <v>0.64</v>
      </c>
      <c r="J5" s="5">
        <f t="shared" si="1"/>
        <v>0.82</v>
      </c>
      <c r="K5" s="5">
        <f t="shared" si="2"/>
        <v>17.999999999999993</v>
      </c>
    </row>
    <row r="6" spans="1:11" x14ac:dyDescent="0.3">
      <c r="A6" s="1">
        <v>4</v>
      </c>
      <c r="B6" s="1" t="s">
        <v>10</v>
      </c>
      <c r="C6" s="5">
        <v>15</v>
      </c>
      <c r="D6" s="5">
        <v>8</v>
      </c>
      <c r="E6" s="5">
        <v>8</v>
      </c>
      <c r="F6" s="5">
        <v>10</v>
      </c>
      <c r="G6" s="5">
        <v>7</v>
      </c>
      <c r="H6" s="5">
        <v>8</v>
      </c>
      <c r="I6" s="5">
        <f t="shared" si="0"/>
        <v>0.6</v>
      </c>
      <c r="J6" s="5">
        <f t="shared" si="1"/>
        <v>0.82</v>
      </c>
      <c r="K6" s="5">
        <f t="shared" si="2"/>
        <v>21.999999999999996</v>
      </c>
    </row>
    <row r="7" spans="1:11" x14ac:dyDescent="0.3">
      <c r="A7" s="1">
        <v>5</v>
      </c>
      <c r="B7" s="1" t="s">
        <v>11</v>
      </c>
      <c r="C7" s="5">
        <v>14</v>
      </c>
      <c r="D7" s="5">
        <v>8</v>
      </c>
      <c r="E7" s="5">
        <v>9</v>
      </c>
      <c r="F7" s="5">
        <v>7</v>
      </c>
      <c r="G7" s="5">
        <v>9</v>
      </c>
      <c r="H7" s="5">
        <v>9</v>
      </c>
      <c r="I7" s="5">
        <f t="shared" si="0"/>
        <v>0.56000000000000005</v>
      </c>
      <c r="J7" s="5">
        <f t="shared" si="1"/>
        <v>0.84</v>
      </c>
      <c r="K7" s="5">
        <f t="shared" si="2"/>
        <v>27.999999999999993</v>
      </c>
    </row>
    <row r="8" spans="1:11" x14ac:dyDescent="0.3">
      <c r="A8" s="1">
        <v>6</v>
      </c>
      <c r="B8" s="1" t="s">
        <v>12</v>
      </c>
      <c r="C8" s="5">
        <v>17</v>
      </c>
      <c r="D8" s="5">
        <v>10</v>
      </c>
      <c r="E8" s="5">
        <v>8</v>
      </c>
      <c r="F8" s="5">
        <v>7</v>
      </c>
      <c r="G8" s="5">
        <v>8</v>
      </c>
      <c r="H8" s="5">
        <v>8</v>
      </c>
      <c r="I8" s="5">
        <f t="shared" si="0"/>
        <v>0.68</v>
      </c>
      <c r="J8" s="5">
        <f t="shared" si="1"/>
        <v>0.82</v>
      </c>
      <c r="K8" s="5">
        <f t="shared" si="2"/>
        <v>13.999999999999989</v>
      </c>
    </row>
    <row r="9" spans="1:11" x14ac:dyDescent="0.3">
      <c r="A9" s="1">
        <v>7</v>
      </c>
      <c r="B9" s="1" t="s">
        <v>13</v>
      </c>
      <c r="C9" s="5">
        <v>20</v>
      </c>
      <c r="D9" s="5">
        <v>9</v>
      </c>
      <c r="E9" s="5">
        <v>9</v>
      </c>
      <c r="F9" s="5">
        <v>10</v>
      </c>
      <c r="G9" s="5">
        <v>8</v>
      </c>
      <c r="H9" s="5">
        <v>7</v>
      </c>
      <c r="I9" s="5">
        <f t="shared" si="0"/>
        <v>0.8</v>
      </c>
      <c r="J9" s="5">
        <f t="shared" si="1"/>
        <v>0.86</v>
      </c>
      <c r="K9" s="5">
        <f t="shared" si="2"/>
        <v>5.9999999999999947</v>
      </c>
    </row>
    <row r="10" spans="1:11" x14ac:dyDescent="0.3">
      <c r="A10" s="1">
        <v>8</v>
      </c>
      <c r="B10" s="1" t="s">
        <v>24</v>
      </c>
      <c r="C10" s="5">
        <v>18</v>
      </c>
      <c r="D10" s="5">
        <v>8</v>
      </c>
      <c r="E10" s="5">
        <v>4</v>
      </c>
      <c r="F10" s="5">
        <v>7</v>
      </c>
      <c r="G10" s="5">
        <v>5</v>
      </c>
      <c r="H10" s="5">
        <v>5</v>
      </c>
      <c r="I10" s="5">
        <f t="shared" si="0"/>
        <v>0.72</v>
      </c>
      <c r="J10" s="5">
        <f t="shared" si="1"/>
        <v>0.57999999999999996</v>
      </c>
      <c r="K10" s="5">
        <f t="shared" si="2"/>
        <v>-14.000000000000002</v>
      </c>
    </row>
    <row r="11" spans="1:11" x14ac:dyDescent="0.3">
      <c r="A11" s="1">
        <v>9</v>
      </c>
      <c r="B11" s="1" t="s">
        <v>14</v>
      </c>
      <c r="C11" s="5">
        <v>17</v>
      </c>
      <c r="D11" s="5">
        <v>10</v>
      </c>
      <c r="E11" s="5">
        <v>8</v>
      </c>
      <c r="F11" s="5">
        <v>7</v>
      </c>
      <c r="G11" s="5">
        <v>10</v>
      </c>
      <c r="H11" s="5">
        <v>8</v>
      </c>
      <c r="I11" s="5">
        <f t="shared" si="0"/>
        <v>0.68</v>
      </c>
      <c r="J11" s="5">
        <f t="shared" si="1"/>
        <v>0.86</v>
      </c>
      <c r="K11" s="5">
        <f t="shared" si="2"/>
        <v>17.999999999999993</v>
      </c>
    </row>
    <row r="12" spans="1:11" x14ac:dyDescent="0.3">
      <c r="A12" s="1">
        <v>10</v>
      </c>
      <c r="B12" s="1" t="s">
        <v>15</v>
      </c>
      <c r="C12" s="5">
        <v>18</v>
      </c>
      <c r="D12" s="5">
        <v>8</v>
      </c>
      <c r="E12" s="5">
        <v>7</v>
      </c>
      <c r="F12" s="5">
        <v>8</v>
      </c>
      <c r="G12" s="5">
        <v>7</v>
      </c>
      <c r="H12" s="5">
        <v>8</v>
      </c>
      <c r="I12" s="5">
        <f t="shared" si="0"/>
        <v>0.72</v>
      </c>
      <c r="J12" s="5">
        <f t="shared" si="1"/>
        <v>0.76</v>
      </c>
      <c r="K12" s="5">
        <f t="shared" si="2"/>
        <v>4.0000000000000036</v>
      </c>
    </row>
    <row r="13" spans="1:11" x14ac:dyDescent="0.3">
      <c r="A13" s="1">
        <v>11</v>
      </c>
      <c r="B13" s="1" t="s">
        <v>16</v>
      </c>
      <c r="C13" s="5">
        <v>18</v>
      </c>
      <c r="D13" s="5">
        <v>9</v>
      </c>
      <c r="E13" s="5">
        <v>8</v>
      </c>
      <c r="F13" s="5">
        <v>7</v>
      </c>
      <c r="G13" s="5">
        <v>8</v>
      </c>
      <c r="H13" s="5">
        <v>8</v>
      </c>
      <c r="I13" s="5">
        <f t="shared" si="0"/>
        <v>0.72</v>
      </c>
      <c r="J13" s="5">
        <f t="shared" si="1"/>
        <v>0.8</v>
      </c>
      <c r="K13" s="5">
        <f t="shared" si="2"/>
        <v>8.0000000000000071</v>
      </c>
    </row>
    <row r="14" spans="1:11" x14ac:dyDescent="0.3">
      <c r="A14" s="1">
        <v>12</v>
      </c>
      <c r="B14" s="1" t="s">
        <v>17</v>
      </c>
      <c r="C14" s="5">
        <v>15</v>
      </c>
      <c r="D14" s="5">
        <v>7</v>
      </c>
      <c r="E14" s="5">
        <v>8</v>
      </c>
      <c r="F14" s="5">
        <v>8</v>
      </c>
      <c r="G14" s="5">
        <v>7</v>
      </c>
      <c r="H14" s="5">
        <v>10</v>
      </c>
      <c r="I14" s="5">
        <f t="shared" si="0"/>
        <v>0.6</v>
      </c>
      <c r="J14" s="5">
        <f t="shared" si="1"/>
        <v>0.8</v>
      </c>
      <c r="K14" s="5">
        <f t="shared" si="2"/>
        <v>20.000000000000007</v>
      </c>
    </row>
    <row r="15" spans="1:11" x14ac:dyDescent="0.3">
      <c r="A15" s="1">
        <v>13</v>
      </c>
      <c r="B15" s="1" t="s">
        <v>18</v>
      </c>
      <c r="C15" s="5">
        <v>15</v>
      </c>
      <c r="D15" s="5">
        <v>10</v>
      </c>
      <c r="E15" s="5">
        <v>8</v>
      </c>
      <c r="F15" s="5">
        <v>7</v>
      </c>
      <c r="G15" s="5">
        <v>9</v>
      </c>
      <c r="H15" s="5">
        <v>9</v>
      </c>
      <c r="I15" s="5">
        <f t="shared" si="0"/>
        <v>0.6</v>
      </c>
      <c r="J15" s="5">
        <f t="shared" si="1"/>
        <v>0.86</v>
      </c>
      <c r="K15" s="5">
        <f t="shared" si="2"/>
        <v>26</v>
      </c>
    </row>
    <row r="16" spans="1:11" x14ac:dyDescent="0.3">
      <c r="A16" s="1">
        <v>14</v>
      </c>
      <c r="B16" s="1" t="s">
        <v>19</v>
      </c>
      <c r="C16" s="5">
        <v>16</v>
      </c>
      <c r="D16" s="5">
        <v>8</v>
      </c>
      <c r="E16" s="5">
        <v>9</v>
      </c>
      <c r="F16" s="5">
        <v>9</v>
      </c>
      <c r="G16" s="5">
        <v>8</v>
      </c>
      <c r="H16" s="5">
        <v>8</v>
      </c>
      <c r="I16" s="5">
        <f t="shared" si="0"/>
        <v>0.64</v>
      </c>
      <c r="J16" s="5">
        <f t="shared" si="1"/>
        <v>0.84</v>
      </c>
      <c r="K16" s="5">
        <f t="shared" si="2"/>
        <v>19.999999999999996</v>
      </c>
    </row>
    <row r="17" spans="1:11" x14ac:dyDescent="0.3">
      <c r="A17" s="1">
        <v>15</v>
      </c>
      <c r="B17" s="1" t="s">
        <v>20</v>
      </c>
      <c r="C17" s="5">
        <v>12</v>
      </c>
      <c r="D17" s="5">
        <v>9</v>
      </c>
      <c r="E17" s="5">
        <v>10</v>
      </c>
      <c r="F17" s="5">
        <v>8</v>
      </c>
      <c r="G17" s="5">
        <v>9</v>
      </c>
      <c r="H17" s="5">
        <v>9</v>
      </c>
      <c r="I17" s="5">
        <f t="shared" si="0"/>
        <v>0.48</v>
      </c>
      <c r="J17" s="5">
        <f t="shared" si="1"/>
        <v>0.9</v>
      </c>
      <c r="K17" s="5">
        <f t="shared" si="2"/>
        <v>42.000000000000007</v>
      </c>
    </row>
    <row r="18" spans="1:11" x14ac:dyDescent="0.3">
      <c r="A18" s="1">
        <v>16</v>
      </c>
      <c r="B18" s="1" t="s">
        <v>21</v>
      </c>
      <c r="C18" s="5">
        <v>14</v>
      </c>
      <c r="D18" s="5">
        <v>10</v>
      </c>
      <c r="E18" s="5">
        <v>8</v>
      </c>
      <c r="F18" s="5">
        <v>8</v>
      </c>
      <c r="G18" s="5">
        <v>7</v>
      </c>
      <c r="H18" s="5">
        <v>7</v>
      </c>
      <c r="I18" s="5">
        <f t="shared" si="0"/>
        <v>0.56000000000000005</v>
      </c>
      <c r="J18" s="5">
        <f t="shared" si="1"/>
        <v>0.8</v>
      </c>
      <c r="K18" s="5">
        <f t="shared" si="2"/>
        <v>24</v>
      </c>
    </row>
    <row r="19" spans="1:11" x14ac:dyDescent="0.3">
      <c r="A19" s="1">
        <v>17</v>
      </c>
      <c r="B19" s="1" t="s">
        <v>22</v>
      </c>
      <c r="C19" s="5">
        <v>14</v>
      </c>
      <c r="D19" s="5">
        <v>8</v>
      </c>
      <c r="E19" s="5">
        <v>9</v>
      </c>
      <c r="F19" s="5">
        <v>7</v>
      </c>
      <c r="G19" s="5">
        <v>9</v>
      </c>
      <c r="H19" s="5">
        <v>9</v>
      </c>
      <c r="I19" s="5">
        <f t="shared" si="0"/>
        <v>0.56000000000000005</v>
      </c>
      <c r="J19" s="5">
        <f t="shared" si="1"/>
        <v>0.84</v>
      </c>
      <c r="K19" s="5">
        <f t="shared" si="2"/>
        <v>27.999999999999993</v>
      </c>
    </row>
    <row r="20" spans="1:11" x14ac:dyDescent="0.3">
      <c r="A20" s="1">
        <v>18</v>
      </c>
      <c r="B20" s="1" t="s">
        <v>23</v>
      </c>
      <c r="C20" s="5">
        <v>15</v>
      </c>
      <c r="D20" s="5">
        <v>7</v>
      </c>
      <c r="E20" s="5">
        <v>6</v>
      </c>
      <c r="F20" s="5">
        <v>10</v>
      </c>
      <c r="G20" s="5">
        <v>8</v>
      </c>
      <c r="H20" s="5">
        <v>7</v>
      </c>
      <c r="I20" s="5">
        <f t="shared" si="0"/>
        <v>0.6</v>
      </c>
      <c r="J20" s="5">
        <f t="shared" si="1"/>
        <v>0.76</v>
      </c>
      <c r="K20" s="5">
        <f t="shared" si="2"/>
        <v>16.000000000000004</v>
      </c>
    </row>
    <row r="21" spans="1:11" x14ac:dyDescent="0.3">
      <c r="A21" s="1">
        <v>19</v>
      </c>
      <c r="B21" s="1" t="s">
        <v>25</v>
      </c>
      <c r="C21" s="5">
        <v>18</v>
      </c>
      <c r="D21" s="5">
        <v>10</v>
      </c>
      <c r="E21" s="5">
        <v>7</v>
      </c>
      <c r="F21" s="5">
        <v>7</v>
      </c>
      <c r="G21" s="5">
        <v>8</v>
      </c>
      <c r="H21" s="5">
        <v>7</v>
      </c>
      <c r="I21" s="5">
        <f t="shared" si="0"/>
        <v>0.72</v>
      </c>
      <c r="J21" s="5">
        <f t="shared" si="1"/>
        <v>0.78</v>
      </c>
      <c r="K21" s="5">
        <f t="shared" si="2"/>
        <v>6.0000000000000053</v>
      </c>
    </row>
    <row r="22" spans="1:11" x14ac:dyDescent="0.3">
      <c r="A22" s="1">
        <v>20</v>
      </c>
      <c r="B22" s="1" t="s">
        <v>26</v>
      </c>
      <c r="C22" s="5">
        <v>17</v>
      </c>
      <c r="D22" s="5">
        <v>8</v>
      </c>
      <c r="E22" s="5">
        <v>8</v>
      </c>
      <c r="F22" s="5">
        <v>5</v>
      </c>
      <c r="G22" s="5">
        <v>7</v>
      </c>
      <c r="H22" s="5">
        <v>7</v>
      </c>
      <c r="I22" s="5">
        <f t="shared" si="0"/>
        <v>0.68</v>
      </c>
      <c r="J22" s="5">
        <f t="shared" si="1"/>
        <v>0.7</v>
      </c>
      <c r="K22" s="5">
        <f t="shared" si="2"/>
        <v>1.9999999999999907</v>
      </c>
    </row>
    <row r="23" spans="1:11" x14ac:dyDescent="0.3">
      <c r="A23" s="7"/>
      <c r="B23" s="7"/>
      <c r="C23" s="8"/>
      <c r="D23" s="8"/>
      <c r="E23" s="8"/>
      <c r="F23" s="8"/>
      <c r="G23" s="8"/>
      <c r="H23" s="8"/>
      <c r="I23" s="9"/>
      <c r="J23" s="9"/>
      <c r="K23" s="9"/>
    </row>
    <row r="24" spans="1:11" x14ac:dyDescent="0.3">
      <c r="A24" s="1"/>
      <c r="B24" s="1"/>
      <c r="C24" s="4"/>
      <c r="D24" s="4"/>
      <c r="E24" s="4"/>
      <c r="F24" s="4"/>
      <c r="G24" s="4"/>
      <c r="H24" s="10" t="s">
        <v>28</v>
      </c>
      <c r="I24" s="11">
        <f>SUM(I3:I23)</f>
        <v>12.88</v>
      </c>
      <c r="J24" s="5"/>
      <c r="K24" s="5"/>
    </row>
    <row r="25" spans="1:11" x14ac:dyDescent="0.3">
      <c r="A25" s="1"/>
      <c r="B25" s="1"/>
      <c r="C25" s="4"/>
      <c r="D25" s="4"/>
      <c r="E25" s="4"/>
      <c r="F25" s="4"/>
      <c r="G25" s="4"/>
      <c r="H25" s="10" t="s">
        <v>29</v>
      </c>
      <c r="I25" s="14">
        <f>I24/20</f>
        <v>0.64400000000000002</v>
      </c>
      <c r="J25" s="5"/>
      <c r="K25" s="5"/>
    </row>
    <row r="26" spans="1:11" x14ac:dyDescent="0.3">
      <c r="A26" s="1"/>
      <c r="B26" s="1"/>
      <c r="C26" s="4"/>
      <c r="D26" s="4"/>
      <c r="E26" s="4"/>
      <c r="F26" s="4"/>
      <c r="G26" s="4"/>
      <c r="H26" s="4"/>
      <c r="I26" s="5"/>
      <c r="J26" s="5"/>
      <c r="K26" s="5"/>
    </row>
    <row r="27" spans="1:11" x14ac:dyDescent="0.3">
      <c r="A27" s="1"/>
      <c r="B27" s="1"/>
      <c r="C27" s="4"/>
      <c r="D27" s="4"/>
      <c r="E27" s="4"/>
      <c r="F27" s="4"/>
      <c r="G27" s="12"/>
      <c r="H27" s="10" t="s">
        <v>30</v>
      </c>
      <c r="I27" s="5"/>
      <c r="J27" s="11">
        <f>SUM(J3:J22)</f>
        <v>16.14</v>
      </c>
      <c r="K27" s="5"/>
    </row>
    <row r="28" spans="1:11" x14ac:dyDescent="0.3">
      <c r="A28" s="1"/>
      <c r="B28" s="1"/>
      <c r="C28" s="4"/>
      <c r="D28" s="4"/>
      <c r="E28" s="4"/>
      <c r="F28" s="4"/>
      <c r="G28" s="12"/>
      <c r="H28" s="10" t="s">
        <v>31</v>
      </c>
      <c r="I28" s="5"/>
      <c r="J28" s="14">
        <f>J27/20</f>
        <v>0.80700000000000005</v>
      </c>
      <c r="K28" s="5"/>
    </row>
    <row r="29" spans="1:11" x14ac:dyDescent="0.3">
      <c r="A29" s="1"/>
      <c r="B29" s="1"/>
      <c r="C29" s="4"/>
      <c r="D29" s="4"/>
      <c r="E29" s="4"/>
      <c r="F29" s="4"/>
      <c r="G29" s="12"/>
      <c r="H29" s="12"/>
      <c r="I29" s="5"/>
      <c r="J29" s="5"/>
      <c r="K29" s="5"/>
    </row>
    <row r="30" spans="1:11" x14ac:dyDescent="0.3">
      <c r="A30" s="1"/>
      <c r="B30" s="1"/>
      <c r="C30" s="4"/>
      <c r="D30" s="4"/>
      <c r="E30" s="4"/>
      <c r="F30" s="4"/>
      <c r="G30" s="12"/>
      <c r="H30" s="10" t="s">
        <v>32</v>
      </c>
      <c r="I30" s="5"/>
      <c r="J30" s="14">
        <f>J28-I25</f>
        <v>0.16300000000000003</v>
      </c>
      <c r="K30" s="5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qulitative</vt:lpstr>
      <vt:lpstr>score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SANDARUWAN</dc:creator>
  <cp:lastModifiedBy>SANDARUWAN</cp:lastModifiedBy>
  <dcterms:created xsi:type="dcterms:W3CDTF">2025-09-10T18:22:29Z</dcterms:created>
  <dcterms:modified xsi:type="dcterms:W3CDTF">2025-09-17T15:21:45Z</dcterms:modified>
</cp:coreProperties>
</file>